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rünler" sheetId="1" state="visible" r:id="rId3"/>
    <sheet name="Nasıl doldurulur" sheetId="2" state="visible" r:id="rId4"/>
    <sheet name="Özet" sheetId="3" state="visible" r:id="rId5"/>
  </sheets>
  <definedNames>
    <definedName function="false" hidden="true" localSheetId="0" name="_xlnm._FilterDatabase" vbProcedure="false">Ürünler!$A$4:$L$55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<sst xmlns="http://schemas.openxmlformats.org/spreadsheetml/2006/main" count="607" uniqueCount="183">
  <si>
    <t xml:space="preserve">BOSTANHANE — ÜRÜN LİSTESİ</t>
  </si>
  <si>
    <t xml:space="preserve">Sarı sütun sizin dolduracağınız yer: fiyat. Diğer sütunlar taslak olarak dolu, gözden geçirip düzeltin. Ayrıntı için “Nasıl doldurulur” sekmesine bakın.</t>
  </si>
  <si>
    <t xml:space="preserve">Kategori</t>
  </si>
  <si>
    <t xml:space="preserve">Ürün adı</t>
  </si>
  <si>
    <t xml:space="preserve">Birim</t>
  </si>
  <si>
    <t xml:space="preserve">Tartılı mı</t>
  </si>
  <si>
    <t xml:space="preserve">Satış adımı</t>
  </si>
  <si>
    <t xml:space="preserve">Tahmini fiyat (₺ / birim)</t>
  </si>
  <si>
    <t xml:space="preserve">Yerel</t>
  </si>
  <si>
    <t xml:space="preserve">Kargo</t>
  </si>
  <si>
    <t xml:space="preserve">Kurumsal</t>
  </si>
  <si>
    <t xml:space="preserve">Raf ömrü</t>
  </si>
  <si>
    <t xml:space="preserve">Mevsim</t>
  </si>
  <si>
    <t xml:space="preserve">Not</t>
  </si>
  <si>
    <t xml:space="preserve">Sebze</t>
  </si>
  <si>
    <t xml:space="preserve">ÖRNEK: Bamya</t>
  </si>
  <si>
    <t xml:space="preserve">kilogram</t>
  </si>
  <si>
    <t xml:space="preserve">evet</t>
  </si>
  <si>
    <t xml:space="preserve">250 g</t>
  </si>
  <si>
    <t xml:space="preserve">64,90</t>
  </si>
  <si>
    <t xml:space="preserve">hayır</t>
  </si>
  <si>
    <t xml:space="preserve">4 gün</t>
  </si>
  <si>
    <t xml:space="preserve">Temmuz–Eylül</t>
  </si>
  <si>
    <t xml:space="preserve">Bu satır biçimi gösterir — doldurduktan sonra silin</t>
  </si>
  <si>
    <t xml:space="preserve">Domates</t>
  </si>
  <si>
    <t xml:space="preserve">500 g</t>
  </si>
  <si>
    <t xml:space="preserve">5 gün</t>
  </si>
  <si>
    <t xml:space="preserve">Haziran–Ekim</t>
  </si>
  <si>
    <t xml:space="preserve">Salatalık</t>
  </si>
  <si>
    <t xml:space="preserve">Mayıs–Ekim</t>
  </si>
  <si>
    <t xml:space="preserve">Patlıcan</t>
  </si>
  <si>
    <t xml:space="preserve">Temmuz–Ekim</t>
  </si>
  <si>
    <t xml:space="preserve">Sakız kabağı</t>
  </si>
  <si>
    <t xml:space="preserve">Mayıs–Eylül</t>
  </si>
  <si>
    <t xml:space="preserve">Çarliston biber</t>
  </si>
  <si>
    <t xml:space="preserve">Dolmalık biber</t>
  </si>
  <si>
    <t xml:space="preserve">7 gün</t>
  </si>
  <si>
    <t xml:space="preserve">Patates</t>
  </si>
  <si>
    <t xml:space="preserve">1 kg</t>
  </si>
  <si>
    <t xml:space="preserve">30 gün</t>
  </si>
  <si>
    <t xml:space="preserve">Tüm yıl</t>
  </si>
  <si>
    <t xml:space="preserve">Kuru soğan</t>
  </si>
  <si>
    <t xml:space="preserve">60 gün</t>
  </si>
  <si>
    <t xml:space="preserve">Sarımsak</t>
  </si>
  <si>
    <t xml:space="preserve">adet</t>
  </si>
  <si>
    <t xml:space="preserve">1 baş</t>
  </si>
  <si>
    <t xml:space="preserve">90 gün</t>
  </si>
  <si>
    <t xml:space="preserve">Kuru sarımsak kargoya uygun</t>
  </si>
  <si>
    <t xml:space="preserve">Havuç</t>
  </si>
  <si>
    <t xml:space="preserve">14 gün</t>
  </si>
  <si>
    <t xml:space="preserve">Taze fasulye</t>
  </si>
  <si>
    <t xml:space="preserve">Haziran–Eylül</t>
  </si>
  <si>
    <t xml:space="preserve">Ispanak</t>
  </si>
  <si>
    <t xml:space="preserve">3 gün</t>
  </si>
  <si>
    <t xml:space="preserve">Ekim–Mart</t>
  </si>
  <si>
    <t xml:space="preserve">Pırasa</t>
  </si>
  <si>
    <t xml:space="preserve">Beyaz lahana</t>
  </si>
  <si>
    <t xml:space="preserve">Karnabahar</t>
  </si>
  <si>
    <t xml:space="preserve">1 adet</t>
  </si>
  <si>
    <t xml:space="preserve">Brokoli</t>
  </si>
  <si>
    <t xml:space="preserve">Kıvırcık marul</t>
  </si>
  <si>
    <t xml:space="preserve">Yeşillik</t>
  </si>
  <si>
    <t xml:space="preserve">Maydanoz</t>
  </si>
  <si>
    <t xml:space="preserve">demet</t>
  </si>
  <si>
    <t xml:space="preserve">1 demet</t>
  </si>
  <si>
    <t xml:space="preserve">Dereotu</t>
  </si>
  <si>
    <t xml:space="preserve">Nane</t>
  </si>
  <si>
    <t xml:space="preserve">Roka</t>
  </si>
  <si>
    <t xml:space="preserve">Taze soğan</t>
  </si>
  <si>
    <t xml:space="preserve">Mart–Ekim</t>
  </si>
  <si>
    <t xml:space="preserve">Tere</t>
  </si>
  <si>
    <t xml:space="preserve">Meyve</t>
  </si>
  <si>
    <t xml:space="preserve">Elma (starking)</t>
  </si>
  <si>
    <t xml:space="preserve">Eylül–Mayıs</t>
  </si>
  <si>
    <t xml:space="preserve">Yöre elması tercih edilecek</t>
  </si>
  <si>
    <t xml:space="preserve">Elma (granny smith)</t>
  </si>
  <si>
    <t xml:space="preserve">Armut</t>
  </si>
  <si>
    <t xml:space="preserve">Ağustos–Kasım</t>
  </si>
  <si>
    <t xml:space="preserve">Kiraz</t>
  </si>
  <si>
    <t xml:space="preserve">Mayıs–Temmuz</t>
  </si>
  <si>
    <t xml:space="preserve">Üzüm</t>
  </si>
  <si>
    <t xml:space="preserve">Ağustos–Ekim</t>
  </si>
  <si>
    <t xml:space="preserve">Şeftali</t>
  </si>
  <si>
    <t xml:space="preserve">Erik</t>
  </si>
  <si>
    <t xml:space="preserve">Karpuz</t>
  </si>
  <si>
    <t xml:space="preserve">10 gün</t>
  </si>
  <si>
    <t xml:space="preserve">Tartılı; provizyon tamponu yüksek tutulmalı</t>
  </si>
  <si>
    <t xml:space="preserve">Kavun</t>
  </si>
  <si>
    <t xml:space="preserve">Tartılı</t>
  </si>
  <si>
    <t xml:space="preserve">Muz</t>
  </si>
  <si>
    <t xml:space="preserve">İthal</t>
  </si>
  <si>
    <t xml:space="preserve">Portakal</t>
  </si>
  <si>
    <t xml:space="preserve">21 gün</t>
  </si>
  <si>
    <t xml:space="preserve">Kasım–Nisan</t>
  </si>
  <si>
    <t xml:space="preserve">Mandalina</t>
  </si>
  <si>
    <t xml:space="preserve">Kasım–Mart</t>
  </si>
  <si>
    <t xml:space="preserve">Limon</t>
  </si>
  <si>
    <t xml:space="preserve">Yumurta</t>
  </si>
  <si>
    <t xml:space="preserve">Köy yumurtası (15'li)</t>
  </si>
  <si>
    <t xml:space="preserve">kutu</t>
  </si>
  <si>
    <t xml:space="preserve">Kargoda kırılma riski — özel ambalaj gerekir</t>
  </si>
  <si>
    <t xml:space="preserve">Köy yumurtası (30'lu)</t>
  </si>
  <si>
    <t xml:space="preserve">Bakliyat ve kuru gıda</t>
  </si>
  <si>
    <t xml:space="preserve">Nohut, yerli (1 kg)</t>
  </si>
  <si>
    <t xml:space="preserve">paket</t>
  </si>
  <si>
    <t xml:space="preserve">12 ay</t>
  </si>
  <si>
    <t xml:space="preserve">Yeşil mercimek (1 kg)</t>
  </si>
  <si>
    <t xml:space="preserve">Köy bulguru (1 kg)</t>
  </si>
  <si>
    <t xml:space="preserve">Ev erişte (500 g)</t>
  </si>
  <si>
    <t xml:space="preserve">6 ay</t>
  </si>
  <si>
    <t xml:space="preserve">Tarhana (500 g)</t>
  </si>
  <si>
    <t xml:space="preserve">Ceviz içi (500 g)</t>
  </si>
  <si>
    <t xml:space="preserve">Serin ve kuru saklanır</t>
  </si>
  <si>
    <t xml:space="preserve">Yöresel ürün</t>
  </si>
  <si>
    <t xml:space="preserve">Akçabelen şeker fasulyesi (1 kg)</t>
  </si>
  <si>
    <t xml:space="preserve">Coğrafi işaretli (TÜRKPATENT, 2019). Beyşehir/Akçabelen. Kargo kanalının amiral ürünü olabilir</t>
  </si>
  <si>
    <t xml:space="preserve">Süzme çiçek balı (850 g)</t>
  </si>
  <si>
    <t xml:space="preserve">kavanoz</t>
  </si>
  <si>
    <t xml:space="preserve">24 ay</t>
  </si>
  <si>
    <t xml:space="preserve">Üretici adı etikette yazsın</t>
  </si>
  <si>
    <t xml:space="preserve">Üzüm pekmezi (700 g)</t>
  </si>
  <si>
    <t xml:space="preserve">Cam kavanoz — kargoda ek koruma</t>
  </si>
  <si>
    <t xml:space="preserve">Ev yapımı domates salçası (700 g)</t>
  </si>
  <si>
    <t xml:space="preserve">Cam kavanoz</t>
  </si>
  <si>
    <t xml:space="preserve">Karışık turşu (1 kg)</t>
  </si>
  <si>
    <t xml:space="preserve">Ağır ve cam — kargo ücreti hesaplanmalı</t>
  </si>
  <si>
    <t xml:space="preserve">Kuru domates (250 g)</t>
  </si>
  <si>
    <t xml:space="preserve">ÜRÜN LİSTESİ — NASIL DOLDURULUR</t>
  </si>
  <si>
    <t xml:space="preserve">Ne yapmanız gerekiyor</t>
  </si>
  <si>
    <t xml:space="preserve">1</t>
  </si>
  <si>
    <t xml:space="preserve">Sarı “Tahmini fiyat” sütununu doldurun. Fiyatı ben yazmadım: mevsime ve haldeki duruma göre değişiyor, uydurma sayı işinize zarar verir.</t>
  </si>
  <si>
    <t xml:space="preserve">2</t>
  </si>
  <si>
    <t xml:space="preserve">Raf ömrü ve mevsim sütunlarını gözden geçirin. Oradaki değerler genel gıda bilgisine dayanan taslaktır; Beyşehir'deki gerçek tedarikinize göre düzeltin.</t>
  </si>
  <si>
    <t xml:space="preserve">3</t>
  </si>
  <si>
    <t xml:space="preserve">Satmayacağınız ürünlerin satırını silin, eksik olanları alta ekleyin. Açılır listeler 60 satır daha aşağısı için de hazır.</t>
  </si>
  <si>
    <t xml:space="preserve">4</t>
  </si>
  <si>
    <t xml:space="preserve">ÖRNEK yazan satırı en sonda silin.</t>
  </si>
  <si>
    <t xml:space="preserve">5</t>
  </si>
  <si>
    <t xml:space="preserve">Dosyayı kaydedip bana söyleyin; Claude Code katalog modülünü bu listeyle kuracak.</t>
  </si>
  <si>
    <t xml:space="preserve">Sütunlar ne demek</t>
  </si>
  <si>
    <t xml:space="preserve">Sitede ürünlerin gruplanacağı başlık. Açılır listeden seçilir.</t>
  </si>
  <si>
    <t xml:space="preserve">kilogram, adet, demet, paket, kavanoz, şişe, kutu. Ambalajlı üründe ağırlık ürün adının içinde parantezle yazılır.</t>
  </si>
  <si>
    <t xml:space="preserve">evet ise müşteriden sepette provizyon alınır (tahmini tutar + tampon), kesin tutar tartımdan sonra çekilir. hayır ise fiyat sabittir.</t>
  </si>
  <si>
    <t xml:space="preserve">Müşterinin artırıp azaltabildiği en küçük miktar. Ürün kartında “kilogram · 500 g'dan itibaren” diye görünür.</t>
  </si>
  <si>
    <t xml:space="preserve">Tahmini fiyat</t>
  </si>
  <si>
    <t xml:space="preserve">Birim başına satış fiyatı. Kilogramla satılanda kilo fiyatı, ambalajlıda paket fiyatı.</t>
  </si>
  <si>
    <t xml:space="preserve">Yerel / Kargo / Kurumsal</t>
  </si>
  <si>
    <t xml:space="preserve">Ürünün hangi kanalda satılacağı. Birden fazlası evet olabilir.</t>
  </si>
  <si>
    <t xml:space="preserve">Uygun koşulda kaç gün bozulmadan kalır. Kargo kararının dayanağı.</t>
  </si>
  <si>
    <t xml:space="preserve">Yılın hangi ayları bulunur. “Tüm yıl” de olabilir.</t>
  </si>
  <si>
    <t xml:space="preserve">Tedarikçi adı, ambalaj uyarısı, aklınıza gelen her şey.</t>
  </si>
  <si>
    <t xml:space="preserve">Kargoya uygunluk — dördü birden sağlanmalı</t>
  </si>
  <si>
    <t xml:space="preserve">Oda sıcaklığında en az 14 gün dayanır.</t>
  </si>
  <si>
    <t xml:space="preserve">Soğuk zincir istemez.</t>
  </si>
  <si>
    <t xml:space="preserve">Tartısızdır: sabit ağırlıklı ambalajda satılır.</t>
  </si>
  <si>
    <t xml:space="preserve">Ambalajı kırılmaya ve sızıntıya dayanıklıdır. Cam kavanoz ek koruma ister.</t>
  </si>
  <si>
    <t xml:space="preserve">Listede kargoya açık işaretlediğim ürünler bu dördünü sağlıyor: bakliyat, kuru gıda, bal, pekmez, salça, turşu, kuru domates, ceviz, sarımsak ve Akçabelen şeker fasulyesi.</t>
  </si>
  <si>
    <t xml:space="preserve">Süt ve süt ürünleri — şimdilik listede yok</t>
  </si>
  <si>
    <t xml:space="preserve">Karar</t>
  </si>
  <si>
    <t xml:space="preserve">Günlük süt ve süt ürünleri bu listeden çıkarıldı; ikinci aşamaya bırakıldı. Sebebi iki ayrı engel: çiğ sütün tüketiciye satışı 2017/20 tebliğ ile izinli üreticilere bağlı, ve soğuk zincir ayrı bir yatırım gerektiriyor. Ayrıntı: ..\icerik\sut-abonelik-plani.md</t>
  </si>
  <si>
    <t xml:space="preserve">Yumurta kaldı</t>
  </si>
  <si>
    <t xml:space="preserve">Köy yumurtası listede duruyor: soğuk zincir istemiyor, raf ömrü uzun, izin sorunu yok. Süt kategorisi açılana kadar tek başına durur.</t>
  </si>
  <si>
    <t xml:space="preserve">Sonra eklenecekler</t>
  </si>
  <si>
    <t xml:space="preserve">Günlük süt, beyaz peynir, Konya küflü tulum peyniri, tereyağı, kaymaklı yoğurt, ayran. Soğuk zincir kurulduğunda hepsi aynı yatırımı paylaşır.</t>
  </si>
  <si>
    <t xml:space="preserve">Kaynaklar</t>
  </si>
  <si>
    <t xml:space="preserve">Akçabelen şeker fasulyesi</t>
  </si>
  <si>
    <t xml:space="preserve">Coğrafi işaret tescili, TÜRKPATENT, 1 Ağustos 2019 — haberler.com/beysehir-in-akcabelen-cetmi-seker-fasulyesi-12205748-haberi</t>
  </si>
  <si>
    <t xml:space="preserve">Çiğ süt kuralları</t>
  </si>
  <si>
    <t xml:space="preserve">Çiğ Sütün Arzına Dair Tebliğ (2017/20) haberleri — dunya.com/sektorler/tarim/cig-sut-satis-kriterleri-belirlendi-haberi-360086</t>
  </si>
  <si>
    <t xml:space="preserve">Mevzuat değişebilir. Yatırım ve ambalaj kararı vermeden önce güncel tebliğ metnini ve izin şartlarını teyit ettirin. Bu dosya hukuki görüş değildir.</t>
  </si>
  <si>
    <t xml:space="preserve">ÖZET</t>
  </si>
  <si>
    <t xml:space="preserve">Ürünler sekmesi değiştikçe kendiliğinden güncellenir.</t>
  </si>
  <si>
    <t xml:space="preserve">Toplam ürün</t>
  </si>
  <si>
    <t xml:space="preserve">  Sebze</t>
  </si>
  <si>
    <t xml:space="preserve">  Yeşillik</t>
  </si>
  <si>
    <t xml:space="preserve">  Meyve</t>
  </si>
  <si>
    <t xml:space="preserve">  Yumurta</t>
  </si>
  <si>
    <t xml:space="preserve">  Bakliyat ve kuru gıda</t>
  </si>
  <si>
    <t xml:space="preserve">  Yöresel ürün</t>
  </si>
  <si>
    <t xml:space="preserve">Yerel teslimat</t>
  </si>
  <si>
    <t xml:space="preserve">Tartılı ürün</t>
  </si>
  <si>
    <t xml:space="preserve">Fiyatı girilmiş ürün</t>
  </si>
  <si>
    <t xml:space="preserve">ÖRNEK satırı bu sayımların dışındadır. Liste 57 üründe; hedef 30–40 idi, bilerek geniş tuttum — satmayacaklarınızı silerek daraltın.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</si>
</sst>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5132"/>
      <name val="Arial"/>
      <family val="0"/>
      <charset val="1"/>
    </font>
    <font>
      <i val="true"/>
      <sz val="10"/>
      <color rgb="FF5B67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A7B4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513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A7B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5132"/>
        <bgColor rgb="FF333300"/>
      </patternFill>
    </fill>
    <fill>
      <patternFill patternType="solid">
        <fgColor rgb="FFFFF3C4"/>
        <bgColor rgb="FFF6F3EA"/>
      </patternFill>
    </fill>
    <fill>
      <patternFill patternType="solid">
        <fgColor rgb="FFF6F3EA"/>
        <bgColor rgb="FFEFEDE6"/>
      </patternFill>
    </fill>
    <fill>
      <patternFill patternType="solid">
        <fgColor rgb="FFEFEDE6"/>
        <bgColor rgb="FFF6F3E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F5132"/>
      </left>
      <right style="thin">
        <color rgb="FF1F5132"/>
      </right>
      <top style="thin">
        <color rgb="FF1F5132"/>
      </top>
      <bottom style="thin">
        <color rgb="FF1F5132"/>
      </bottom>
      <diagonal/>
    </border>
    <border diagonalUp="false" diagonalDown="false">
      <left style="thin">
        <color rgb="FFDDD8C8"/>
      </left>
      <right style="thin">
        <color rgb="FFDDD8C8"/>
      </right>
      <top style="thin">
        <color rgb="FFDDD8C8"/>
      </top>
      <bottom style="thin">
        <color rgb="FFDDD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5132"/>
          <bgColor rgb="FF000000"/>
        </patternFill>
      </fill>
    </dxf>
    <dxf>
      <fill>
        <patternFill patternType="solid">
          <fgColor rgb="FFF6F3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A7B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3C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7B4A"/>
      <rgbColor rgb="FF9999FF"/>
      <rgbColor rgb="FF993366"/>
      <rgbColor rgb="FFFFF3C4"/>
      <rgbColor rgb="FFEFEDE6"/>
      <rgbColor rgb="FF660066"/>
      <rgbColor rgb="FFFF8080"/>
      <rgbColor rgb="FF0066CC"/>
      <rgbColor rgb="FFDDD8C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3E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7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1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8" min="7" style="0" width="8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2" min="12" style="0" width="38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23.85" hidden="false" customHeight="false" outlineLevel="0" collapsed="false">
      <c r="A5" s="4" t="s">
        <v>14</v>
      </c>
      <c r="B5" s="4" t="s">
        <v>15</v>
      </c>
      <c r="C5" s="5" t="s">
        <v>16</v>
      </c>
      <c r="D5" s="5" t="s">
        <v>17</v>
      </c>
      <c r="E5" s="5" t="s">
        <v>18</v>
      </c>
      <c r="F5" s="6" t="s">
        <v>19</v>
      </c>
      <c r="G5" s="5" t="s">
        <v>17</v>
      </c>
      <c r="H5" s="5" t="s">
        <v>20</v>
      </c>
      <c r="I5" s="5" t="s">
        <v>17</v>
      </c>
      <c r="J5" s="5" t="s">
        <v>21</v>
      </c>
      <c r="K5" s="4" t="s">
        <v>22</v>
      </c>
      <c r="L5" s="7" t="s">
        <v>23</v>
      </c>
    </row>
    <row r="6" customFormat="false" ht="15" hidden="false" customHeight="false" outlineLevel="0" collapsed="false">
      <c r="A6" s="8" t="s">
        <v>14</v>
      </c>
      <c r="B6" s="8" t="s">
        <v>24</v>
      </c>
      <c r="C6" s="9" t="s">
        <v>16</v>
      </c>
      <c r="D6" s="9" t="s">
        <v>17</v>
      </c>
      <c r="E6" s="9" t="s">
        <v>25</v>
      </c>
      <c r="F6" s="10"/>
      <c r="G6" s="9" t="s">
        <v>17</v>
      </c>
      <c r="H6" s="9" t="s">
        <v>20</v>
      </c>
      <c r="I6" s="9" t="s">
        <v>17</v>
      </c>
      <c r="J6" s="9" t="s">
        <v>26</v>
      </c>
      <c r="K6" s="8" t="s">
        <v>27</v>
      </c>
      <c r="L6" s="11"/>
    </row>
    <row r="7" customFormat="false" ht="15" hidden="false" customHeight="false" outlineLevel="0" collapsed="false">
      <c r="A7" s="12" t="s">
        <v>14</v>
      </c>
      <c r="B7" s="12" t="s">
        <v>28</v>
      </c>
      <c r="C7" s="13" t="s">
        <v>16</v>
      </c>
      <c r="D7" s="13" t="s">
        <v>17</v>
      </c>
      <c r="E7" s="13" t="s">
        <v>25</v>
      </c>
      <c r="F7" s="10"/>
      <c r="G7" s="13" t="s">
        <v>17</v>
      </c>
      <c r="H7" s="13" t="s">
        <v>20</v>
      </c>
      <c r="I7" s="13" t="s">
        <v>17</v>
      </c>
      <c r="J7" s="13" t="s">
        <v>26</v>
      </c>
      <c r="K7" s="12" t="s">
        <v>29</v>
      </c>
      <c r="L7" s="14"/>
    </row>
    <row r="8" customFormat="false" ht="15" hidden="false" customHeight="false" outlineLevel="0" collapsed="false">
      <c r="A8" s="8" t="s">
        <v>14</v>
      </c>
      <c r="B8" s="8" t="s">
        <v>30</v>
      </c>
      <c r="C8" s="9" t="s">
        <v>16</v>
      </c>
      <c r="D8" s="9" t="s">
        <v>17</v>
      </c>
      <c r="E8" s="9" t="s">
        <v>25</v>
      </c>
      <c r="F8" s="10"/>
      <c r="G8" s="9" t="s">
        <v>17</v>
      </c>
      <c r="H8" s="9" t="s">
        <v>20</v>
      </c>
      <c r="I8" s="9" t="s">
        <v>17</v>
      </c>
      <c r="J8" s="9" t="s">
        <v>26</v>
      </c>
      <c r="K8" s="8" t="s">
        <v>31</v>
      </c>
      <c r="L8" s="11"/>
    </row>
    <row r="9" customFormat="false" ht="15" hidden="false" customHeight="false" outlineLevel="0" collapsed="false">
      <c r="A9" s="12" t="s">
        <v>14</v>
      </c>
      <c r="B9" s="12" t="s">
        <v>32</v>
      </c>
      <c r="C9" s="13" t="s">
        <v>16</v>
      </c>
      <c r="D9" s="13" t="s">
        <v>17</v>
      </c>
      <c r="E9" s="13" t="s">
        <v>25</v>
      </c>
      <c r="F9" s="10"/>
      <c r="G9" s="13" t="s">
        <v>17</v>
      </c>
      <c r="H9" s="13" t="s">
        <v>20</v>
      </c>
      <c r="I9" s="13" t="s">
        <v>17</v>
      </c>
      <c r="J9" s="13" t="s">
        <v>26</v>
      </c>
      <c r="K9" s="12" t="s">
        <v>33</v>
      </c>
      <c r="L9" s="14"/>
    </row>
    <row r="10" customFormat="false" ht="15" hidden="false" customHeight="false" outlineLevel="0" collapsed="false">
      <c r="A10" s="8" t="s">
        <v>14</v>
      </c>
      <c r="B10" s="8" t="s">
        <v>34</v>
      </c>
      <c r="C10" s="9" t="s">
        <v>16</v>
      </c>
      <c r="D10" s="9" t="s">
        <v>17</v>
      </c>
      <c r="E10" s="9" t="s">
        <v>18</v>
      </c>
      <c r="F10" s="10"/>
      <c r="G10" s="9" t="s">
        <v>17</v>
      </c>
      <c r="H10" s="9" t="s">
        <v>20</v>
      </c>
      <c r="I10" s="9" t="s">
        <v>17</v>
      </c>
      <c r="J10" s="9" t="s">
        <v>26</v>
      </c>
      <c r="K10" s="8" t="s">
        <v>27</v>
      </c>
      <c r="L10" s="11"/>
    </row>
    <row r="11" customFormat="false" ht="15" hidden="false" customHeight="false" outlineLevel="0" collapsed="false">
      <c r="A11" s="12" t="s">
        <v>14</v>
      </c>
      <c r="B11" s="12" t="s">
        <v>35</v>
      </c>
      <c r="C11" s="13" t="s">
        <v>16</v>
      </c>
      <c r="D11" s="13" t="s">
        <v>17</v>
      </c>
      <c r="E11" s="13" t="s">
        <v>25</v>
      </c>
      <c r="F11" s="10"/>
      <c r="G11" s="13" t="s">
        <v>17</v>
      </c>
      <c r="H11" s="13" t="s">
        <v>20</v>
      </c>
      <c r="I11" s="13" t="s">
        <v>17</v>
      </c>
      <c r="J11" s="13" t="s">
        <v>36</v>
      </c>
      <c r="K11" s="12" t="s">
        <v>27</v>
      </c>
      <c r="L11" s="14"/>
    </row>
    <row r="12" customFormat="false" ht="15" hidden="false" customHeight="false" outlineLevel="0" collapsed="false">
      <c r="A12" s="8" t="s">
        <v>14</v>
      </c>
      <c r="B12" s="8" t="s">
        <v>37</v>
      </c>
      <c r="C12" s="9" t="s">
        <v>16</v>
      </c>
      <c r="D12" s="9" t="s">
        <v>17</v>
      </c>
      <c r="E12" s="9" t="s">
        <v>38</v>
      </c>
      <c r="F12" s="10"/>
      <c r="G12" s="9" t="s">
        <v>17</v>
      </c>
      <c r="H12" s="9" t="s">
        <v>20</v>
      </c>
      <c r="I12" s="9" t="s">
        <v>17</v>
      </c>
      <c r="J12" s="9" t="s">
        <v>39</v>
      </c>
      <c r="K12" s="8" t="s">
        <v>40</v>
      </c>
      <c r="L12" s="11"/>
    </row>
    <row r="13" customFormat="false" ht="15" hidden="false" customHeight="false" outlineLevel="0" collapsed="false">
      <c r="A13" s="12" t="s">
        <v>14</v>
      </c>
      <c r="B13" s="12" t="s">
        <v>41</v>
      </c>
      <c r="C13" s="13" t="s">
        <v>16</v>
      </c>
      <c r="D13" s="13" t="s">
        <v>17</v>
      </c>
      <c r="E13" s="13" t="s">
        <v>38</v>
      </c>
      <c r="F13" s="10"/>
      <c r="G13" s="13" t="s">
        <v>17</v>
      </c>
      <c r="H13" s="13" t="s">
        <v>20</v>
      </c>
      <c r="I13" s="13" t="s">
        <v>17</v>
      </c>
      <c r="J13" s="13" t="s">
        <v>42</v>
      </c>
      <c r="K13" s="12" t="s">
        <v>40</v>
      </c>
      <c r="L13" s="14"/>
    </row>
    <row r="14" customFormat="false" ht="15" hidden="false" customHeight="false" outlineLevel="0" collapsed="false">
      <c r="A14" s="8" t="s">
        <v>14</v>
      </c>
      <c r="B14" s="8" t="s">
        <v>43</v>
      </c>
      <c r="C14" s="9" t="s">
        <v>44</v>
      </c>
      <c r="D14" s="9" t="s">
        <v>20</v>
      </c>
      <c r="E14" s="9" t="s">
        <v>45</v>
      </c>
      <c r="F14" s="10"/>
      <c r="G14" s="9" t="s">
        <v>17</v>
      </c>
      <c r="H14" s="9" t="s">
        <v>17</v>
      </c>
      <c r="I14" s="9" t="s">
        <v>17</v>
      </c>
      <c r="J14" s="9" t="s">
        <v>46</v>
      </c>
      <c r="K14" s="8" t="s">
        <v>40</v>
      </c>
      <c r="L14" s="11" t="s">
        <v>47</v>
      </c>
    </row>
    <row r="15" customFormat="false" ht="15" hidden="false" customHeight="false" outlineLevel="0" collapsed="false">
      <c r="A15" s="12" t="s">
        <v>14</v>
      </c>
      <c r="B15" s="12" t="s">
        <v>48</v>
      </c>
      <c r="C15" s="13" t="s">
        <v>16</v>
      </c>
      <c r="D15" s="13" t="s">
        <v>17</v>
      </c>
      <c r="E15" s="13" t="s">
        <v>25</v>
      </c>
      <c r="F15" s="10"/>
      <c r="G15" s="13" t="s">
        <v>17</v>
      </c>
      <c r="H15" s="13" t="s">
        <v>20</v>
      </c>
      <c r="I15" s="13" t="s">
        <v>17</v>
      </c>
      <c r="J15" s="13" t="s">
        <v>49</v>
      </c>
      <c r="K15" s="12" t="s">
        <v>40</v>
      </c>
      <c r="L15" s="14"/>
    </row>
    <row r="16" customFormat="false" ht="15" hidden="false" customHeight="false" outlineLevel="0" collapsed="false">
      <c r="A16" s="8" t="s">
        <v>14</v>
      </c>
      <c r="B16" s="8" t="s">
        <v>50</v>
      </c>
      <c r="C16" s="9" t="s">
        <v>16</v>
      </c>
      <c r="D16" s="9" t="s">
        <v>17</v>
      </c>
      <c r="E16" s="9" t="s">
        <v>25</v>
      </c>
      <c r="F16" s="10"/>
      <c r="G16" s="9" t="s">
        <v>17</v>
      </c>
      <c r="H16" s="9" t="s">
        <v>20</v>
      </c>
      <c r="I16" s="9" t="s">
        <v>17</v>
      </c>
      <c r="J16" s="9" t="s">
        <v>21</v>
      </c>
      <c r="K16" s="8" t="s">
        <v>51</v>
      </c>
      <c r="L16" s="11"/>
    </row>
    <row r="17" customFormat="false" ht="15" hidden="false" customHeight="false" outlineLevel="0" collapsed="false">
      <c r="A17" s="12" t="s">
        <v>14</v>
      </c>
      <c r="B17" s="12" t="s">
        <v>52</v>
      </c>
      <c r="C17" s="13" t="s">
        <v>16</v>
      </c>
      <c r="D17" s="13" t="s">
        <v>17</v>
      </c>
      <c r="E17" s="13" t="s">
        <v>25</v>
      </c>
      <c r="F17" s="10"/>
      <c r="G17" s="13" t="s">
        <v>17</v>
      </c>
      <c r="H17" s="13" t="s">
        <v>20</v>
      </c>
      <c r="I17" s="13" t="s">
        <v>17</v>
      </c>
      <c r="J17" s="13" t="s">
        <v>53</v>
      </c>
      <c r="K17" s="12" t="s">
        <v>54</v>
      </c>
      <c r="L17" s="14"/>
    </row>
    <row r="18" customFormat="false" ht="15" hidden="false" customHeight="false" outlineLevel="0" collapsed="false">
      <c r="A18" s="8" t="s">
        <v>14</v>
      </c>
      <c r="B18" s="8" t="s">
        <v>55</v>
      </c>
      <c r="C18" s="9" t="s">
        <v>16</v>
      </c>
      <c r="D18" s="9" t="s">
        <v>17</v>
      </c>
      <c r="E18" s="9" t="s">
        <v>25</v>
      </c>
      <c r="F18" s="10"/>
      <c r="G18" s="9" t="s">
        <v>17</v>
      </c>
      <c r="H18" s="9" t="s">
        <v>20</v>
      </c>
      <c r="I18" s="9" t="s">
        <v>17</v>
      </c>
      <c r="J18" s="9" t="s">
        <v>36</v>
      </c>
      <c r="K18" s="8" t="s">
        <v>54</v>
      </c>
      <c r="L18" s="11"/>
    </row>
    <row r="19" customFormat="false" ht="15" hidden="false" customHeight="false" outlineLevel="0" collapsed="false">
      <c r="A19" s="12" t="s">
        <v>14</v>
      </c>
      <c r="B19" s="12" t="s">
        <v>56</v>
      </c>
      <c r="C19" s="13" t="s">
        <v>16</v>
      </c>
      <c r="D19" s="13" t="s">
        <v>17</v>
      </c>
      <c r="E19" s="13" t="s">
        <v>25</v>
      </c>
      <c r="F19" s="10"/>
      <c r="G19" s="13" t="s">
        <v>17</v>
      </c>
      <c r="H19" s="13" t="s">
        <v>20</v>
      </c>
      <c r="I19" s="13" t="s">
        <v>17</v>
      </c>
      <c r="J19" s="13" t="s">
        <v>49</v>
      </c>
      <c r="K19" s="12" t="s">
        <v>54</v>
      </c>
      <c r="L19" s="14"/>
    </row>
    <row r="20" customFormat="false" ht="15" hidden="false" customHeight="false" outlineLevel="0" collapsed="false">
      <c r="A20" s="8" t="s">
        <v>14</v>
      </c>
      <c r="B20" s="8" t="s">
        <v>57</v>
      </c>
      <c r="C20" s="9" t="s">
        <v>44</v>
      </c>
      <c r="D20" s="9" t="s">
        <v>20</v>
      </c>
      <c r="E20" s="9" t="s">
        <v>58</v>
      </c>
      <c r="F20" s="10"/>
      <c r="G20" s="9" t="s">
        <v>17</v>
      </c>
      <c r="H20" s="9" t="s">
        <v>20</v>
      </c>
      <c r="I20" s="9" t="s">
        <v>17</v>
      </c>
      <c r="J20" s="9" t="s">
        <v>36</v>
      </c>
      <c r="K20" s="8" t="s">
        <v>54</v>
      </c>
      <c r="L20" s="11"/>
    </row>
    <row r="21" customFormat="false" ht="15" hidden="false" customHeight="false" outlineLevel="0" collapsed="false">
      <c r="A21" s="12" t="s">
        <v>14</v>
      </c>
      <c r="B21" s="12" t="s">
        <v>59</v>
      </c>
      <c r="C21" s="13" t="s">
        <v>44</v>
      </c>
      <c r="D21" s="13" t="s">
        <v>20</v>
      </c>
      <c r="E21" s="13" t="s">
        <v>58</v>
      </c>
      <c r="F21" s="10"/>
      <c r="G21" s="13" t="s">
        <v>17</v>
      </c>
      <c r="H21" s="13" t="s">
        <v>20</v>
      </c>
      <c r="I21" s="13" t="s">
        <v>17</v>
      </c>
      <c r="J21" s="13" t="s">
        <v>26</v>
      </c>
      <c r="K21" s="12" t="s">
        <v>54</v>
      </c>
      <c r="L21" s="14"/>
    </row>
    <row r="22" customFormat="false" ht="15" hidden="false" customHeight="false" outlineLevel="0" collapsed="false">
      <c r="A22" s="8" t="s">
        <v>14</v>
      </c>
      <c r="B22" s="8" t="s">
        <v>60</v>
      </c>
      <c r="C22" s="9" t="s">
        <v>44</v>
      </c>
      <c r="D22" s="9" t="s">
        <v>20</v>
      </c>
      <c r="E22" s="9" t="s">
        <v>58</v>
      </c>
      <c r="F22" s="10"/>
      <c r="G22" s="9" t="s">
        <v>17</v>
      </c>
      <c r="H22" s="9" t="s">
        <v>20</v>
      </c>
      <c r="I22" s="9" t="s">
        <v>17</v>
      </c>
      <c r="J22" s="9" t="s">
        <v>21</v>
      </c>
      <c r="K22" s="8" t="s">
        <v>40</v>
      </c>
      <c r="L22" s="11"/>
    </row>
    <row r="23" customFormat="false" ht="15" hidden="false" customHeight="false" outlineLevel="0" collapsed="false">
      <c r="A23" s="12" t="s">
        <v>61</v>
      </c>
      <c r="B23" s="12" t="s">
        <v>62</v>
      </c>
      <c r="C23" s="13" t="s">
        <v>63</v>
      </c>
      <c r="D23" s="13" t="s">
        <v>20</v>
      </c>
      <c r="E23" s="13" t="s">
        <v>64</v>
      </c>
      <c r="F23" s="10"/>
      <c r="G23" s="13" t="s">
        <v>17</v>
      </c>
      <c r="H23" s="13" t="s">
        <v>20</v>
      </c>
      <c r="I23" s="13" t="s">
        <v>17</v>
      </c>
      <c r="J23" s="13" t="s">
        <v>53</v>
      </c>
      <c r="K23" s="12" t="s">
        <v>40</v>
      </c>
      <c r="L23" s="14"/>
    </row>
    <row r="24" customFormat="false" ht="15" hidden="false" customHeight="false" outlineLevel="0" collapsed="false">
      <c r="A24" s="8" t="s">
        <v>61</v>
      </c>
      <c r="B24" s="8" t="s">
        <v>65</v>
      </c>
      <c r="C24" s="9" t="s">
        <v>63</v>
      </c>
      <c r="D24" s="9" t="s">
        <v>20</v>
      </c>
      <c r="E24" s="9" t="s">
        <v>64</v>
      </c>
      <c r="F24" s="10"/>
      <c r="G24" s="9" t="s">
        <v>17</v>
      </c>
      <c r="H24" s="9" t="s">
        <v>20</v>
      </c>
      <c r="I24" s="9" t="s">
        <v>17</v>
      </c>
      <c r="J24" s="9" t="s">
        <v>53</v>
      </c>
      <c r="K24" s="8" t="s">
        <v>40</v>
      </c>
      <c r="L24" s="11"/>
    </row>
    <row r="25" customFormat="false" ht="15" hidden="false" customHeight="false" outlineLevel="0" collapsed="false">
      <c r="A25" s="12" t="s">
        <v>61</v>
      </c>
      <c r="B25" s="12" t="s">
        <v>66</v>
      </c>
      <c r="C25" s="13" t="s">
        <v>63</v>
      </c>
      <c r="D25" s="13" t="s">
        <v>20</v>
      </c>
      <c r="E25" s="13" t="s">
        <v>64</v>
      </c>
      <c r="F25" s="10"/>
      <c r="G25" s="13" t="s">
        <v>17</v>
      </c>
      <c r="H25" s="13" t="s">
        <v>20</v>
      </c>
      <c r="I25" s="13" t="s">
        <v>17</v>
      </c>
      <c r="J25" s="13" t="s">
        <v>53</v>
      </c>
      <c r="K25" s="12" t="s">
        <v>29</v>
      </c>
      <c r="L25" s="14"/>
    </row>
    <row r="26" customFormat="false" ht="15" hidden="false" customHeight="false" outlineLevel="0" collapsed="false">
      <c r="A26" s="8" t="s">
        <v>61</v>
      </c>
      <c r="B26" s="8" t="s">
        <v>67</v>
      </c>
      <c r="C26" s="9" t="s">
        <v>63</v>
      </c>
      <c r="D26" s="9" t="s">
        <v>20</v>
      </c>
      <c r="E26" s="9" t="s">
        <v>64</v>
      </c>
      <c r="F26" s="10"/>
      <c r="G26" s="9" t="s">
        <v>17</v>
      </c>
      <c r="H26" s="9" t="s">
        <v>20</v>
      </c>
      <c r="I26" s="9" t="s">
        <v>17</v>
      </c>
      <c r="J26" s="9" t="s">
        <v>53</v>
      </c>
      <c r="K26" s="8" t="s">
        <v>40</v>
      </c>
      <c r="L26" s="11"/>
    </row>
    <row r="27" customFormat="false" ht="15" hidden="false" customHeight="false" outlineLevel="0" collapsed="false">
      <c r="A27" s="12" t="s">
        <v>61</v>
      </c>
      <c r="B27" s="12" t="s">
        <v>68</v>
      </c>
      <c r="C27" s="13" t="s">
        <v>63</v>
      </c>
      <c r="D27" s="13" t="s">
        <v>20</v>
      </c>
      <c r="E27" s="13" t="s">
        <v>64</v>
      </c>
      <c r="F27" s="10"/>
      <c r="G27" s="13" t="s">
        <v>17</v>
      </c>
      <c r="H27" s="13" t="s">
        <v>20</v>
      </c>
      <c r="I27" s="13" t="s">
        <v>17</v>
      </c>
      <c r="J27" s="13" t="s">
        <v>21</v>
      </c>
      <c r="K27" s="12" t="s">
        <v>69</v>
      </c>
      <c r="L27" s="14"/>
    </row>
    <row r="28" customFormat="false" ht="15" hidden="false" customHeight="false" outlineLevel="0" collapsed="false">
      <c r="A28" s="8" t="s">
        <v>61</v>
      </c>
      <c r="B28" s="8" t="s">
        <v>70</v>
      </c>
      <c r="C28" s="9" t="s">
        <v>63</v>
      </c>
      <c r="D28" s="9" t="s">
        <v>20</v>
      </c>
      <c r="E28" s="9" t="s">
        <v>64</v>
      </c>
      <c r="F28" s="10"/>
      <c r="G28" s="9" t="s">
        <v>17</v>
      </c>
      <c r="H28" s="9" t="s">
        <v>20</v>
      </c>
      <c r="I28" s="9" t="s">
        <v>17</v>
      </c>
      <c r="J28" s="9" t="s">
        <v>53</v>
      </c>
      <c r="K28" s="8" t="s">
        <v>40</v>
      </c>
      <c r="L28" s="11"/>
    </row>
    <row r="29" customFormat="false" ht="15" hidden="false" customHeight="false" outlineLevel="0" collapsed="false">
      <c r="A29" s="12" t="s">
        <v>71</v>
      </c>
      <c r="B29" s="12" t="s">
        <v>72</v>
      </c>
      <c r="C29" s="13" t="s">
        <v>16</v>
      </c>
      <c r="D29" s="13" t="s">
        <v>17</v>
      </c>
      <c r="E29" s="13" t="s">
        <v>38</v>
      </c>
      <c r="F29" s="10"/>
      <c r="G29" s="13" t="s">
        <v>17</v>
      </c>
      <c r="H29" s="13" t="s">
        <v>20</v>
      </c>
      <c r="I29" s="13" t="s">
        <v>17</v>
      </c>
      <c r="J29" s="13" t="s">
        <v>39</v>
      </c>
      <c r="K29" s="12" t="s">
        <v>73</v>
      </c>
      <c r="L29" s="14" t="s">
        <v>74</v>
      </c>
    </row>
    <row r="30" customFormat="false" ht="15" hidden="false" customHeight="false" outlineLevel="0" collapsed="false">
      <c r="A30" s="8" t="s">
        <v>71</v>
      </c>
      <c r="B30" s="8" t="s">
        <v>75</v>
      </c>
      <c r="C30" s="9" t="s">
        <v>16</v>
      </c>
      <c r="D30" s="9" t="s">
        <v>17</v>
      </c>
      <c r="E30" s="9" t="s">
        <v>38</v>
      </c>
      <c r="F30" s="10"/>
      <c r="G30" s="9" t="s">
        <v>17</v>
      </c>
      <c r="H30" s="9" t="s">
        <v>20</v>
      </c>
      <c r="I30" s="9" t="s">
        <v>17</v>
      </c>
      <c r="J30" s="9" t="s">
        <v>39</v>
      </c>
      <c r="K30" s="8" t="s">
        <v>73</v>
      </c>
      <c r="L30" s="11"/>
    </row>
    <row r="31" customFormat="false" ht="15" hidden="false" customHeight="false" outlineLevel="0" collapsed="false">
      <c r="A31" s="12" t="s">
        <v>71</v>
      </c>
      <c r="B31" s="12" t="s">
        <v>76</v>
      </c>
      <c r="C31" s="13" t="s">
        <v>16</v>
      </c>
      <c r="D31" s="13" t="s">
        <v>17</v>
      </c>
      <c r="E31" s="13" t="s">
        <v>38</v>
      </c>
      <c r="F31" s="10"/>
      <c r="G31" s="13" t="s">
        <v>17</v>
      </c>
      <c r="H31" s="13" t="s">
        <v>20</v>
      </c>
      <c r="I31" s="13" t="s">
        <v>17</v>
      </c>
      <c r="J31" s="13" t="s">
        <v>49</v>
      </c>
      <c r="K31" s="12" t="s">
        <v>77</v>
      </c>
      <c r="L31" s="14"/>
    </row>
    <row r="32" customFormat="false" ht="15" hidden="false" customHeight="false" outlineLevel="0" collapsed="false">
      <c r="A32" s="8" t="s">
        <v>71</v>
      </c>
      <c r="B32" s="8" t="s">
        <v>78</v>
      </c>
      <c r="C32" s="9" t="s">
        <v>16</v>
      </c>
      <c r="D32" s="9" t="s">
        <v>17</v>
      </c>
      <c r="E32" s="9" t="s">
        <v>25</v>
      </c>
      <c r="F32" s="10"/>
      <c r="G32" s="9" t="s">
        <v>17</v>
      </c>
      <c r="H32" s="9" t="s">
        <v>20</v>
      </c>
      <c r="I32" s="9" t="s">
        <v>17</v>
      </c>
      <c r="J32" s="9" t="s">
        <v>21</v>
      </c>
      <c r="K32" s="8" t="s">
        <v>79</v>
      </c>
      <c r="L32" s="11"/>
    </row>
    <row r="33" customFormat="false" ht="15" hidden="false" customHeight="false" outlineLevel="0" collapsed="false">
      <c r="A33" s="12" t="s">
        <v>71</v>
      </c>
      <c r="B33" s="12" t="s">
        <v>80</v>
      </c>
      <c r="C33" s="13" t="s">
        <v>16</v>
      </c>
      <c r="D33" s="13" t="s">
        <v>17</v>
      </c>
      <c r="E33" s="13" t="s">
        <v>25</v>
      </c>
      <c r="F33" s="10"/>
      <c r="G33" s="13" t="s">
        <v>17</v>
      </c>
      <c r="H33" s="13" t="s">
        <v>20</v>
      </c>
      <c r="I33" s="13" t="s">
        <v>17</v>
      </c>
      <c r="J33" s="13" t="s">
        <v>36</v>
      </c>
      <c r="K33" s="12" t="s">
        <v>81</v>
      </c>
      <c r="L33" s="14"/>
    </row>
    <row r="34" customFormat="false" ht="15" hidden="false" customHeight="false" outlineLevel="0" collapsed="false">
      <c r="A34" s="8" t="s">
        <v>71</v>
      </c>
      <c r="B34" s="8" t="s">
        <v>82</v>
      </c>
      <c r="C34" s="9" t="s">
        <v>16</v>
      </c>
      <c r="D34" s="9" t="s">
        <v>17</v>
      </c>
      <c r="E34" s="9" t="s">
        <v>25</v>
      </c>
      <c r="F34" s="10"/>
      <c r="G34" s="9" t="s">
        <v>17</v>
      </c>
      <c r="H34" s="9" t="s">
        <v>20</v>
      </c>
      <c r="I34" s="9" t="s">
        <v>17</v>
      </c>
      <c r="J34" s="9" t="s">
        <v>26</v>
      </c>
      <c r="K34" s="8" t="s">
        <v>51</v>
      </c>
      <c r="L34" s="11"/>
    </row>
    <row r="35" customFormat="false" ht="15" hidden="false" customHeight="false" outlineLevel="0" collapsed="false">
      <c r="A35" s="12" t="s">
        <v>71</v>
      </c>
      <c r="B35" s="12" t="s">
        <v>83</v>
      </c>
      <c r="C35" s="13" t="s">
        <v>16</v>
      </c>
      <c r="D35" s="13" t="s">
        <v>17</v>
      </c>
      <c r="E35" s="13" t="s">
        <v>25</v>
      </c>
      <c r="F35" s="10"/>
      <c r="G35" s="13" t="s">
        <v>17</v>
      </c>
      <c r="H35" s="13" t="s">
        <v>20</v>
      </c>
      <c r="I35" s="13" t="s">
        <v>17</v>
      </c>
      <c r="J35" s="13" t="s">
        <v>26</v>
      </c>
      <c r="K35" s="12" t="s">
        <v>51</v>
      </c>
      <c r="L35" s="14"/>
    </row>
    <row r="36" customFormat="false" ht="15" hidden="false" customHeight="false" outlineLevel="0" collapsed="false">
      <c r="A36" s="8" t="s">
        <v>71</v>
      </c>
      <c r="B36" s="8" t="s">
        <v>84</v>
      </c>
      <c r="C36" s="9" t="s">
        <v>16</v>
      </c>
      <c r="D36" s="9" t="s">
        <v>17</v>
      </c>
      <c r="E36" s="9" t="s">
        <v>58</v>
      </c>
      <c r="F36" s="10"/>
      <c r="G36" s="9" t="s">
        <v>17</v>
      </c>
      <c r="H36" s="9" t="s">
        <v>20</v>
      </c>
      <c r="I36" s="9" t="s">
        <v>20</v>
      </c>
      <c r="J36" s="9" t="s">
        <v>85</v>
      </c>
      <c r="K36" s="8" t="s">
        <v>22</v>
      </c>
      <c r="L36" s="11" t="s">
        <v>86</v>
      </c>
    </row>
    <row r="37" customFormat="false" ht="15" hidden="false" customHeight="false" outlineLevel="0" collapsed="false">
      <c r="A37" s="12" t="s">
        <v>71</v>
      </c>
      <c r="B37" s="12" t="s">
        <v>87</v>
      </c>
      <c r="C37" s="13" t="s">
        <v>16</v>
      </c>
      <c r="D37" s="13" t="s">
        <v>17</v>
      </c>
      <c r="E37" s="13" t="s">
        <v>58</v>
      </c>
      <c r="F37" s="10"/>
      <c r="G37" s="13" t="s">
        <v>17</v>
      </c>
      <c r="H37" s="13" t="s">
        <v>20</v>
      </c>
      <c r="I37" s="13" t="s">
        <v>20</v>
      </c>
      <c r="J37" s="13" t="s">
        <v>85</v>
      </c>
      <c r="K37" s="12" t="s">
        <v>22</v>
      </c>
      <c r="L37" s="14" t="s">
        <v>88</v>
      </c>
    </row>
    <row r="38" customFormat="false" ht="15" hidden="false" customHeight="false" outlineLevel="0" collapsed="false">
      <c r="A38" s="8" t="s">
        <v>71</v>
      </c>
      <c r="B38" s="8" t="s">
        <v>89</v>
      </c>
      <c r="C38" s="9" t="s">
        <v>16</v>
      </c>
      <c r="D38" s="9" t="s">
        <v>17</v>
      </c>
      <c r="E38" s="9" t="s">
        <v>25</v>
      </c>
      <c r="F38" s="10"/>
      <c r="G38" s="9" t="s">
        <v>17</v>
      </c>
      <c r="H38" s="9" t="s">
        <v>20</v>
      </c>
      <c r="I38" s="9" t="s">
        <v>17</v>
      </c>
      <c r="J38" s="9" t="s">
        <v>26</v>
      </c>
      <c r="K38" s="8" t="s">
        <v>40</v>
      </c>
      <c r="L38" s="11" t="s">
        <v>90</v>
      </c>
    </row>
    <row r="39" customFormat="false" ht="15" hidden="false" customHeight="false" outlineLevel="0" collapsed="false">
      <c r="A39" s="12" t="s">
        <v>71</v>
      </c>
      <c r="B39" s="12" t="s">
        <v>91</v>
      </c>
      <c r="C39" s="13" t="s">
        <v>16</v>
      </c>
      <c r="D39" s="13" t="s">
        <v>17</v>
      </c>
      <c r="E39" s="13" t="s">
        <v>38</v>
      </c>
      <c r="F39" s="10"/>
      <c r="G39" s="13" t="s">
        <v>17</v>
      </c>
      <c r="H39" s="13" t="s">
        <v>20</v>
      </c>
      <c r="I39" s="13" t="s">
        <v>17</v>
      </c>
      <c r="J39" s="13" t="s">
        <v>92</v>
      </c>
      <c r="K39" s="12" t="s">
        <v>93</v>
      </c>
      <c r="L39" s="14"/>
    </row>
    <row r="40" customFormat="false" ht="15" hidden="false" customHeight="false" outlineLevel="0" collapsed="false">
      <c r="A40" s="8" t="s">
        <v>71</v>
      </c>
      <c r="B40" s="8" t="s">
        <v>94</v>
      </c>
      <c r="C40" s="9" t="s">
        <v>16</v>
      </c>
      <c r="D40" s="9" t="s">
        <v>17</v>
      </c>
      <c r="E40" s="9" t="s">
        <v>38</v>
      </c>
      <c r="F40" s="10"/>
      <c r="G40" s="9" t="s">
        <v>17</v>
      </c>
      <c r="H40" s="9" t="s">
        <v>20</v>
      </c>
      <c r="I40" s="9" t="s">
        <v>17</v>
      </c>
      <c r="J40" s="9" t="s">
        <v>49</v>
      </c>
      <c r="K40" s="8" t="s">
        <v>95</v>
      </c>
      <c r="L40" s="11"/>
    </row>
    <row r="41" customFormat="false" ht="15" hidden="false" customHeight="false" outlineLevel="0" collapsed="false">
      <c r="A41" s="12" t="s">
        <v>71</v>
      </c>
      <c r="B41" s="12" t="s">
        <v>96</v>
      </c>
      <c r="C41" s="13" t="s">
        <v>16</v>
      </c>
      <c r="D41" s="13" t="s">
        <v>17</v>
      </c>
      <c r="E41" s="13" t="s">
        <v>25</v>
      </c>
      <c r="F41" s="10"/>
      <c r="G41" s="13" t="s">
        <v>17</v>
      </c>
      <c r="H41" s="13" t="s">
        <v>20</v>
      </c>
      <c r="I41" s="13" t="s">
        <v>17</v>
      </c>
      <c r="J41" s="13" t="s">
        <v>92</v>
      </c>
      <c r="K41" s="12" t="s">
        <v>40</v>
      </c>
      <c r="L41" s="14"/>
    </row>
    <row r="42" customFormat="false" ht="15" hidden="false" customHeight="false" outlineLevel="0" collapsed="false">
      <c r="A42" s="8" t="s">
        <v>97</v>
      </c>
      <c r="B42" s="8" t="s">
        <v>98</v>
      </c>
      <c r="C42" s="9" t="s">
        <v>99</v>
      </c>
      <c r="D42" s="9" t="s">
        <v>20</v>
      </c>
      <c r="E42" s="9" t="s">
        <v>58</v>
      </c>
      <c r="F42" s="10"/>
      <c r="G42" s="9" t="s">
        <v>17</v>
      </c>
      <c r="H42" s="9" t="s">
        <v>20</v>
      </c>
      <c r="I42" s="9" t="s">
        <v>17</v>
      </c>
      <c r="J42" s="9" t="s">
        <v>92</v>
      </c>
      <c r="K42" s="8" t="s">
        <v>40</v>
      </c>
      <c r="L42" s="11" t="s">
        <v>100</v>
      </c>
    </row>
    <row r="43" customFormat="false" ht="15" hidden="false" customHeight="false" outlineLevel="0" collapsed="false">
      <c r="A43" s="12" t="s">
        <v>97</v>
      </c>
      <c r="B43" s="12" t="s">
        <v>101</v>
      </c>
      <c r="C43" s="13" t="s">
        <v>99</v>
      </c>
      <c r="D43" s="13" t="s">
        <v>20</v>
      </c>
      <c r="E43" s="13" t="s">
        <v>58</v>
      </c>
      <c r="F43" s="10"/>
      <c r="G43" s="13" t="s">
        <v>17</v>
      </c>
      <c r="H43" s="13" t="s">
        <v>20</v>
      </c>
      <c r="I43" s="13" t="s">
        <v>17</v>
      </c>
      <c r="J43" s="13" t="s">
        <v>92</v>
      </c>
      <c r="K43" s="12" t="s">
        <v>40</v>
      </c>
      <c r="L43" s="14"/>
    </row>
    <row r="44" customFormat="false" ht="15" hidden="false" customHeight="false" outlineLevel="0" collapsed="false">
      <c r="A44" s="8" t="s">
        <v>102</v>
      </c>
      <c r="B44" s="8" t="s">
        <v>103</v>
      </c>
      <c r="C44" s="9" t="s">
        <v>104</v>
      </c>
      <c r="D44" s="9" t="s">
        <v>20</v>
      </c>
      <c r="E44" s="9" t="s">
        <v>58</v>
      </c>
      <c r="F44" s="10"/>
      <c r="G44" s="9" t="s">
        <v>17</v>
      </c>
      <c r="H44" s="9" t="s">
        <v>17</v>
      </c>
      <c r="I44" s="9" t="s">
        <v>17</v>
      </c>
      <c r="J44" s="9" t="s">
        <v>105</v>
      </c>
      <c r="K44" s="8" t="s">
        <v>40</v>
      </c>
      <c r="L44" s="11"/>
    </row>
    <row r="45" customFormat="false" ht="15" hidden="false" customHeight="false" outlineLevel="0" collapsed="false">
      <c r="A45" s="12" t="s">
        <v>102</v>
      </c>
      <c r="B45" s="12" t="s">
        <v>106</v>
      </c>
      <c r="C45" s="13" t="s">
        <v>104</v>
      </c>
      <c r="D45" s="13" t="s">
        <v>20</v>
      </c>
      <c r="E45" s="13" t="s">
        <v>58</v>
      </c>
      <c r="F45" s="10"/>
      <c r="G45" s="13" t="s">
        <v>17</v>
      </c>
      <c r="H45" s="13" t="s">
        <v>17</v>
      </c>
      <c r="I45" s="13" t="s">
        <v>17</v>
      </c>
      <c r="J45" s="13" t="s">
        <v>105</v>
      </c>
      <c r="K45" s="12" t="s">
        <v>40</v>
      </c>
      <c r="L45" s="14"/>
    </row>
    <row r="46" customFormat="false" ht="15" hidden="false" customHeight="false" outlineLevel="0" collapsed="false">
      <c r="A46" s="8" t="s">
        <v>102</v>
      </c>
      <c r="B46" s="8" t="s">
        <v>107</v>
      </c>
      <c r="C46" s="9" t="s">
        <v>104</v>
      </c>
      <c r="D46" s="9" t="s">
        <v>20</v>
      </c>
      <c r="E46" s="9" t="s">
        <v>58</v>
      </c>
      <c r="F46" s="10"/>
      <c r="G46" s="9" t="s">
        <v>17</v>
      </c>
      <c r="H46" s="9" t="s">
        <v>17</v>
      </c>
      <c r="I46" s="9" t="s">
        <v>17</v>
      </c>
      <c r="J46" s="9" t="s">
        <v>105</v>
      </c>
      <c r="K46" s="8" t="s">
        <v>40</v>
      </c>
      <c r="L46" s="11"/>
    </row>
    <row r="47" customFormat="false" ht="15" hidden="false" customHeight="false" outlineLevel="0" collapsed="false">
      <c r="A47" s="12" t="s">
        <v>102</v>
      </c>
      <c r="B47" s="12" t="s">
        <v>108</v>
      </c>
      <c r="C47" s="13" t="s">
        <v>104</v>
      </c>
      <c r="D47" s="13" t="s">
        <v>20</v>
      </c>
      <c r="E47" s="13" t="s">
        <v>58</v>
      </c>
      <c r="F47" s="10"/>
      <c r="G47" s="13" t="s">
        <v>17</v>
      </c>
      <c r="H47" s="13" t="s">
        <v>17</v>
      </c>
      <c r="I47" s="13" t="s">
        <v>17</v>
      </c>
      <c r="J47" s="13" t="s">
        <v>109</v>
      </c>
      <c r="K47" s="12" t="s">
        <v>40</v>
      </c>
      <c r="L47" s="14"/>
    </row>
    <row r="48" customFormat="false" ht="15" hidden="false" customHeight="false" outlineLevel="0" collapsed="false">
      <c r="A48" s="8" t="s">
        <v>102</v>
      </c>
      <c r="B48" s="8" t="s">
        <v>110</v>
      </c>
      <c r="C48" s="9" t="s">
        <v>104</v>
      </c>
      <c r="D48" s="9" t="s">
        <v>20</v>
      </c>
      <c r="E48" s="9" t="s">
        <v>58</v>
      </c>
      <c r="F48" s="10"/>
      <c r="G48" s="9" t="s">
        <v>17</v>
      </c>
      <c r="H48" s="9" t="s">
        <v>17</v>
      </c>
      <c r="I48" s="9" t="s">
        <v>17</v>
      </c>
      <c r="J48" s="9" t="s">
        <v>109</v>
      </c>
      <c r="K48" s="8" t="s">
        <v>40</v>
      </c>
      <c r="L48" s="11"/>
    </row>
    <row r="49" customFormat="false" ht="15" hidden="false" customHeight="false" outlineLevel="0" collapsed="false">
      <c r="A49" s="12" t="s">
        <v>102</v>
      </c>
      <c r="B49" s="12" t="s">
        <v>111</v>
      </c>
      <c r="C49" s="13" t="s">
        <v>104</v>
      </c>
      <c r="D49" s="13" t="s">
        <v>20</v>
      </c>
      <c r="E49" s="13" t="s">
        <v>58</v>
      </c>
      <c r="F49" s="10"/>
      <c r="G49" s="13" t="s">
        <v>17</v>
      </c>
      <c r="H49" s="13" t="s">
        <v>17</v>
      </c>
      <c r="I49" s="13" t="s">
        <v>17</v>
      </c>
      <c r="J49" s="13" t="s">
        <v>109</v>
      </c>
      <c r="K49" s="12" t="s">
        <v>73</v>
      </c>
      <c r="L49" s="14" t="s">
        <v>112</v>
      </c>
    </row>
    <row r="50" customFormat="false" ht="35.05" hidden="false" customHeight="false" outlineLevel="0" collapsed="false">
      <c r="A50" s="8" t="s">
        <v>113</v>
      </c>
      <c r="B50" s="8" t="s">
        <v>114</v>
      </c>
      <c r="C50" s="9" t="s">
        <v>104</v>
      </c>
      <c r="D50" s="9" t="s">
        <v>20</v>
      </c>
      <c r="E50" s="9" t="s">
        <v>58</v>
      </c>
      <c r="F50" s="10"/>
      <c r="G50" s="9" t="s">
        <v>17</v>
      </c>
      <c r="H50" s="9" t="s">
        <v>17</v>
      </c>
      <c r="I50" s="9" t="s">
        <v>17</v>
      </c>
      <c r="J50" s="9" t="s">
        <v>105</v>
      </c>
      <c r="K50" s="8" t="s">
        <v>40</v>
      </c>
      <c r="L50" s="11" t="s">
        <v>115</v>
      </c>
    </row>
    <row r="51" customFormat="false" ht="15" hidden="false" customHeight="false" outlineLevel="0" collapsed="false">
      <c r="A51" s="12" t="s">
        <v>113</v>
      </c>
      <c r="B51" s="12" t="s">
        <v>116</v>
      </c>
      <c r="C51" s="13" t="s">
        <v>117</v>
      </c>
      <c r="D51" s="13" t="s">
        <v>20</v>
      </c>
      <c r="E51" s="13" t="s">
        <v>58</v>
      </c>
      <c r="F51" s="10"/>
      <c r="G51" s="13" t="s">
        <v>17</v>
      </c>
      <c r="H51" s="13" t="s">
        <v>17</v>
      </c>
      <c r="I51" s="13" t="s">
        <v>17</v>
      </c>
      <c r="J51" s="13" t="s">
        <v>118</v>
      </c>
      <c r="K51" s="12" t="s">
        <v>40</v>
      </c>
      <c r="L51" s="14" t="s">
        <v>119</v>
      </c>
    </row>
    <row r="52" customFormat="false" ht="15" hidden="false" customHeight="false" outlineLevel="0" collapsed="false">
      <c r="A52" s="8" t="s">
        <v>113</v>
      </c>
      <c r="B52" s="8" t="s">
        <v>120</v>
      </c>
      <c r="C52" s="9" t="s">
        <v>117</v>
      </c>
      <c r="D52" s="9" t="s">
        <v>20</v>
      </c>
      <c r="E52" s="9" t="s">
        <v>58</v>
      </c>
      <c r="F52" s="10"/>
      <c r="G52" s="9" t="s">
        <v>17</v>
      </c>
      <c r="H52" s="9" t="s">
        <v>17</v>
      </c>
      <c r="I52" s="9" t="s">
        <v>17</v>
      </c>
      <c r="J52" s="9" t="s">
        <v>118</v>
      </c>
      <c r="K52" s="8" t="s">
        <v>40</v>
      </c>
      <c r="L52" s="11" t="s">
        <v>121</v>
      </c>
    </row>
    <row r="53" customFormat="false" ht="15" hidden="false" customHeight="false" outlineLevel="0" collapsed="false">
      <c r="A53" s="12" t="s">
        <v>113</v>
      </c>
      <c r="B53" s="12" t="s">
        <v>122</v>
      </c>
      <c r="C53" s="13" t="s">
        <v>117</v>
      </c>
      <c r="D53" s="13" t="s">
        <v>20</v>
      </c>
      <c r="E53" s="13" t="s">
        <v>58</v>
      </c>
      <c r="F53" s="10"/>
      <c r="G53" s="13" t="s">
        <v>17</v>
      </c>
      <c r="H53" s="13" t="s">
        <v>17</v>
      </c>
      <c r="I53" s="13" t="s">
        <v>17</v>
      </c>
      <c r="J53" s="13" t="s">
        <v>105</v>
      </c>
      <c r="K53" s="12" t="s">
        <v>40</v>
      </c>
      <c r="L53" s="14" t="s">
        <v>123</v>
      </c>
    </row>
    <row r="54" customFormat="false" ht="15" hidden="false" customHeight="false" outlineLevel="0" collapsed="false">
      <c r="A54" s="8" t="s">
        <v>113</v>
      </c>
      <c r="B54" s="8" t="s">
        <v>124</v>
      </c>
      <c r="C54" s="9" t="s">
        <v>117</v>
      </c>
      <c r="D54" s="9" t="s">
        <v>20</v>
      </c>
      <c r="E54" s="9" t="s">
        <v>58</v>
      </c>
      <c r="F54" s="10"/>
      <c r="G54" s="9" t="s">
        <v>17</v>
      </c>
      <c r="H54" s="9" t="s">
        <v>17</v>
      </c>
      <c r="I54" s="9" t="s">
        <v>17</v>
      </c>
      <c r="J54" s="9" t="s">
        <v>105</v>
      </c>
      <c r="K54" s="8" t="s">
        <v>40</v>
      </c>
      <c r="L54" s="11" t="s">
        <v>125</v>
      </c>
    </row>
    <row r="55" customFormat="false" ht="15" hidden="false" customHeight="false" outlineLevel="0" collapsed="false">
      <c r="A55" s="12" t="s">
        <v>113</v>
      </c>
      <c r="B55" s="12" t="s">
        <v>126</v>
      </c>
      <c r="C55" s="13" t="s">
        <v>104</v>
      </c>
      <c r="D55" s="13" t="s">
        <v>20</v>
      </c>
      <c r="E55" s="13" t="s">
        <v>58</v>
      </c>
      <c r="F55" s="10"/>
      <c r="G55" s="13" t="s">
        <v>17</v>
      </c>
      <c r="H55" s="13" t="s">
        <v>17</v>
      </c>
      <c r="I55" s="13" t="s">
        <v>17</v>
      </c>
      <c r="J55" s="13" t="s">
        <v>105</v>
      </c>
      <c r="K55" s="12" t="s">
        <v>40</v>
      </c>
      <c r="L55" s="14"/>
    </row>
  </sheetData>
  <autoFilter ref="A4:L55"/>
  <mergeCells count="2">
    <mergeCell ref="A1:L1"/>
    <mergeCell ref="A2:L2"/>
  </mergeCells>
  <dataValidations count="3">
    <dataValidation allowBlank="true" errorStyle="stop" operator="between" showDropDown="false" showErrorMessage="false" showInputMessage="false" sqref="A6:A115" type="list">
      <formula1>"Sebze,Yeşillik,Meyve,Yumurta,Bakliyat ve kuru gıda,Yöresel ürün"</formula1>
      <formula2>0</formula2>
    </dataValidation>
    <dataValidation allowBlank="true" errorStyle="stop" operator="between" showDropDown="false" showErrorMessage="false" showInputMessage="false" sqref="C6:C115" type="list">
      <formula1>"kilogram,adet,demet,paket,kavanoz,şişe,kutu"</formula1>
      <formula2>0</formula2>
    </dataValidation>
    <dataValidation allowBlank="true" errorStyle="stop" operator="between" showDropDown="false" showErrorMessage="false" showInputMessage="false" sqref="D6:D115 G6:I115" type="list">
      <formula1>"evet,hayır"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6"/>
  </cols>
  <sheetData>
    <row r="1" customFormat="false" ht="18.55" hidden="false" customHeight="false" outlineLevel="0" collapsed="false">
      <c r="A1" s="15" t="s">
        <v>127</v>
      </c>
    </row>
    <row r="3" customFormat="false" ht="15" hidden="false" customHeight="false" outlineLevel="0" collapsed="false">
      <c r="A3" s="16" t="s">
        <v>128</v>
      </c>
      <c r="B3" s="16"/>
    </row>
    <row r="4" customFormat="false" ht="23.85" hidden="false" customHeight="false" outlineLevel="0" collapsed="false">
      <c r="A4" s="17" t="s">
        <v>129</v>
      </c>
      <c r="B4" s="18" t="s">
        <v>130</v>
      </c>
    </row>
    <row r="5" customFormat="false" ht="23.85" hidden="false" customHeight="false" outlineLevel="0" collapsed="false">
      <c r="A5" s="17" t="s">
        <v>131</v>
      </c>
      <c r="B5" s="18" t="s">
        <v>132</v>
      </c>
    </row>
    <row r="6" customFormat="false" ht="15" hidden="false" customHeight="false" outlineLevel="0" collapsed="false">
      <c r="A6" s="17" t="s">
        <v>133</v>
      </c>
      <c r="B6" s="18" t="s">
        <v>134</v>
      </c>
    </row>
    <row r="7" customFormat="false" ht="15" hidden="false" customHeight="false" outlineLevel="0" collapsed="false">
      <c r="A7" s="17" t="s">
        <v>135</v>
      </c>
      <c r="B7" s="18" t="s">
        <v>136</v>
      </c>
    </row>
    <row r="8" customFormat="false" ht="15" hidden="false" customHeight="false" outlineLevel="0" collapsed="false">
      <c r="A8" s="17" t="s">
        <v>137</v>
      </c>
      <c r="B8" s="18" t="s">
        <v>138</v>
      </c>
    </row>
    <row r="10" customFormat="false" ht="15" hidden="false" customHeight="false" outlineLevel="0" collapsed="false">
      <c r="A10" s="16" t="s">
        <v>139</v>
      </c>
      <c r="B10" s="16"/>
    </row>
    <row r="11" customFormat="false" ht="15" hidden="false" customHeight="false" outlineLevel="0" collapsed="false">
      <c r="A11" s="17" t="s">
        <v>2</v>
      </c>
      <c r="B11" s="18" t="s">
        <v>140</v>
      </c>
    </row>
    <row r="12" customFormat="false" ht="15" hidden="false" customHeight="false" outlineLevel="0" collapsed="false">
      <c r="A12" s="17" t="s">
        <v>4</v>
      </c>
      <c r="B12" s="18" t="s">
        <v>141</v>
      </c>
    </row>
    <row r="13" customFormat="false" ht="23.85" hidden="false" customHeight="false" outlineLevel="0" collapsed="false">
      <c r="A13" s="17" t="s">
        <v>5</v>
      </c>
      <c r="B13" s="18" t="s">
        <v>142</v>
      </c>
    </row>
    <row r="14" customFormat="false" ht="15" hidden="false" customHeight="false" outlineLevel="0" collapsed="false">
      <c r="A14" s="17" t="s">
        <v>6</v>
      </c>
      <c r="B14" s="18" t="s">
        <v>143</v>
      </c>
    </row>
    <row r="15" customFormat="false" ht="15" hidden="false" customHeight="false" outlineLevel="0" collapsed="false">
      <c r="A15" s="17" t="s">
        <v>144</v>
      </c>
      <c r="B15" s="18" t="s">
        <v>145</v>
      </c>
    </row>
    <row r="16" customFormat="false" ht="15" hidden="false" customHeight="false" outlineLevel="0" collapsed="false">
      <c r="A16" s="17" t="s">
        <v>146</v>
      </c>
      <c r="B16" s="18" t="s">
        <v>147</v>
      </c>
    </row>
    <row r="17" customFormat="false" ht="15" hidden="false" customHeight="false" outlineLevel="0" collapsed="false">
      <c r="A17" s="17" t="s">
        <v>11</v>
      </c>
      <c r="B17" s="18" t="s">
        <v>148</v>
      </c>
    </row>
    <row r="18" customFormat="false" ht="15" hidden="false" customHeight="false" outlineLevel="0" collapsed="false">
      <c r="A18" s="17" t="s">
        <v>12</v>
      </c>
      <c r="B18" s="18" t="s">
        <v>149</v>
      </c>
    </row>
    <row r="19" customFormat="false" ht="15" hidden="false" customHeight="false" outlineLevel="0" collapsed="false">
      <c r="A19" s="17" t="s">
        <v>13</v>
      </c>
      <c r="B19" s="18" t="s">
        <v>150</v>
      </c>
    </row>
    <row r="21" customFormat="false" ht="15" hidden="false" customHeight="false" outlineLevel="0" collapsed="false">
      <c r="A21" s="16" t="s">
        <v>151</v>
      </c>
      <c r="B21" s="16"/>
    </row>
    <row r="22" customFormat="false" ht="15" hidden="false" customHeight="false" outlineLevel="0" collapsed="false">
      <c r="A22" s="17" t="s">
        <v>129</v>
      </c>
      <c r="B22" s="18" t="s">
        <v>152</v>
      </c>
    </row>
    <row r="23" customFormat="false" ht="15" hidden="false" customHeight="false" outlineLevel="0" collapsed="false">
      <c r="A23" s="17" t="s">
        <v>131</v>
      </c>
      <c r="B23" s="18" t="s">
        <v>153</v>
      </c>
    </row>
    <row r="24" customFormat="false" ht="15" hidden="false" customHeight="false" outlineLevel="0" collapsed="false">
      <c r="A24" s="17" t="s">
        <v>133</v>
      </c>
      <c r="B24" s="18" t="s">
        <v>154</v>
      </c>
    </row>
    <row r="25" customFormat="false" ht="15" hidden="false" customHeight="false" outlineLevel="0" collapsed="false">
      <c r="A25" s="17" t="s">
        <v>135</v>
      </c>
      <c r="B25" s="18" t="s">
        <v>155</v>
      </c>
    </row>
    <row r="26" customFormat="false" ht="23.85" hidden="false" customHeight="false" outlineLevel="0" collapsed="false">
      <c r="A26" s="18"/>
      <c r="B26" s="18" t="s">
        <v>156</v>
      </c>
    </row>
    <row r="28" customFormat="false" ht="15" hidden="false" customHeight="false" outlineLevel="0" collapsed="false">
      <c r="A28" s="16" t="s">
        <v>157</v>
      </c>
      <c r="B28" s="16"/>
    </row>
    <row r="29" customFormat="false" ht="35.05" hidden="false" customHeight="false" outlineLevel="0" collapsed="false">
      <c r="A29" s="17" t="s">
        <v>158</v>
      </c>
      <c r="B29" s="18" t="s">
        <v>159</v>
      </c>
    </row>
    <row r="30" customFormat="false" ht="23.85" hidden="false" customHeight="false" outlineLevel="0" collapsed="false">
      <c r="A30" s="17" t="s">
        <v>160</v>
      </c>
      <c r="B30" s="18" t="s">
        <v>161</v>
      </c>
    </row>
    <row r="31" customFormat="false" ht="23.85" hidden="false" customHeight="false" outlineLevel="0" collapsed="false">
      <c r="A31" s="17" t="s">
        <v>162</v>
      </c>
      <c r="B31" s="18" t="s">
        <v>163</v>
      </c>
    </row>
    <row r="33" customFormat="false" ht="15" hidden="false" customHeight="false" outlineLevel="0" collapsed="false">
      <c r="A33" s="16" t="s">
        <v>164</v>
      </c>
      <c r="B33" s="16"/>
    </row>
    <row r="34" customFormat="false" ht="23.85" hidden="false" customHeight="false" outlineLevel="0" collapsed="false">
      <c r="A34" s="17" t="s">
        <v>165</v>
      </c>
      <c r="B34" s="18" t="s">
        <v>166</v>
      </c>
    </row>
    <row r="35" customFormat="false" ht="23.85" hidden="false" customHeight="false" outlineLevel="0" collapsed="false">
      <c r="A35" s="17" t="s">
        <v>167</v>
      </c>
      <c r="B35" s="18" t="s">
        <v>168</v>
      </c>
    </row>
    <row r="36" customFormat="false" ht="23.85" hidden="false" customHeight="false" outlineLevel="0" collapsed="false">
      <c r="A36" s="18"/>
      <c r="B36" s="18" t="s">
        <v>169</v>
      </c>
    </row>
  </sheetData>
  <mergeCells count="5">
    <mergeCell ref="A3:B3"/>
    <mergeCell ref="A10:B10"/>
    <mergeCell ref="A21:B21"/>
    <mergeCell ref="A28:B28"/>
    <mergeCell ref="A33:B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</cols>
  <sheetData>
    <row r="1" customFormat="false" ht="18.55" hidden="false" customHeight="false" outlineLevel="0" collapsed="false">
      <c r="A1" s="15" t="s">
        <v>170</v>
      </c>
    </row>
    <row r="2" customFormat="false" ht="15" hidden="false" customHeight="false" outlineLevel="0" collapsed="false">
      <c r="A2" s="19" t="s">
        <v>171</v>
      </c>
    </row>
    <row r="4" customFormat="false" ht="15" hidden="false" customHeight="false" outlineLevel="0" collapsed="false">
      <c r="A4" s="20" t="s">
        <v>172</v>
      </c>
      <c r="B4" s="21" t="n">
        <f aca="false">COUNTA(Ürünler!$B$6:$B$115)</f>
        <v>50</v>
      </c>
    </row>
    <row r="5" customFormat="false" ht="15" hidden="false" customHeight="false" outlineLevel="0" collapsed="false">
      <c r="A5" s="22" t="s">
        <v>173</v>
      </c>
      <c r="B5" s="21" t="n">
        <f aca="false">COUNTIF(Ürünler!$A$6:$A$115,"Sebze")</f>
        <v>17</v>
      </c>
    </row>
    <row r="6" customFormat="false" ht="15" hidden="false" customHeight="false" outlineLevel="0" collapsed="false">
      <c r="A6" s="22" t="s">
        <v>174</v>
      </c>
      <c r="B6" s="21" t="n">
        <f aca="false">COUNTIF(Ürünler!$A$6:$A$115,"Yeşillik")</f>
        <v>6</v>
      </c>
    </row>
    <row r="7" customFormat="false" ht="15" hidden="false" customHeight="false" outlineLevel="0" collapsed="false">
      <c r="A7" s="22" t="s">
        <v>175</v>
      </c>
      <c r="B7" s="21" t="n">
        <f aca="false">COUNTIF(Ürünler!$A$6:$A$115,"Meyve")</f>
        <v>13</v>
      </c>
    </row>
    <row r="8" customFormat="false" ht="15" hidden="false" customHeight="false" outlineLevel="0" collapsed="false">
      <c r="A8" s="22" t="s">
        <v>176</v>
      </c>
      <c r="B8" s="21" t="n">
        <f aca="false">COUNTIF(Ürünler!$A$6:$A$115,"Yumurta")</f>
        <v>2</v>
      </c>
    </row>
    <row r="9" customFormat="false" ht="15" hidden="false" customHeight="false" outlineLevel="0" collapsed="false">
      <c r="A9" s="22" t="s">
        <v>177</v>
      </c>
      <c r="B9" s="21" t="n">
        <f aca="false">COUNTIF(Ürünler!$A$6:$A$115,"Bakliyat ve kuru gıda")</f>
        <v>6</v>
      </c>
    </row>
    <row r="10" customFormat="false" ht="15" hidden="false" customHeight="false" outlineLevel="0" collapsed="false">
      <c r="A10" s="22" t="s">
        <v>178</v>
      </c>
      <c r="B10" s="21" t="n">
        <f aca="false">COUNTIF(Ürünler!$A$6:$A$115,"Yöresel ürün")</f>
        <v>6</v>
      </c>
    </row>
    <row r="11" customFormat="false" ht="15" hidden="false" customHeight="false" outlineLevel="0" collapsed="false">
      <c r="A11" s="20"/>
    </row>
    <row r="12" customFormat="false" ht="15" hidden="false" customHeight="false" outlineLevel="0" collapsed="false">
      <c r="A12" s="20" t="s">
        <v>179</v>
      </c>
      <c r="B12" s="21" t="n">
        <f aca="false">COUNTIF(Ürünler!$G$6:$G$115,"evet")</f>
        <v>50</v>
      </c>
    </row>
    <row r="13" customFormat="false" ht="15" hidden="false" customHeight="false" outlineLevel="0" collapsed="false">
      <c r="A13" s="20" t="s">
        <v>9</v>
      </c>
      <c r="B13" s="21" t="n">
        <f aca="false">COUNTIF(Ürünler!$H$6:$H$115,"evet")</f>
        <v>13</v>
      </c>
    </row>
    <row r="14" customFormat="false" ht="15" hidden="false" customHeight="false" outlineLevel="0" collapsed="false">
      <c r="A14" s="20" t="s">
        <v>10</v>
      </c>
      <c r="B14" s="21" t="n">
        <f aca="false">COUNTIF(Ürünler!$I$6:$I$115,"evet")</f>
        <v>48</v>
      </c>
    </row>
    <row r="15" customFormat="false" ht="15" hidden="false" customHeight="false" outlineLevel="0" collapsed="false">
      <c r="A15" s="20" t="s">
        <v>180</v>
      </c>
      <c r="B15" s="21" t="n">
        <f aca="false">COUNTIF(Ürünler!$D$6:$D$115,"evet")</f>
        <v>26</v>
      </c>
    </row>
    <row r="16" customFormat="false" ht="15" hidden="false" customHeight="false" outlineLevel="0" collapsed="false">
      <c r="A16" s="20"/>
    </row>
    <row r="17" customFormat="false" ht="15" hidden="false" customHeight="false" outlineLevel="0" collapsed="false">
      <c r="A17" s="20" t="s">
        <v>181</v>
      </c>
      <c r="B17" s="21" t="n">
        <f aca="false">COUNT(Ürünler!$F$6:$F$115)</f>
        <v>0</v>
      </c>
    </row>
    <row r="19" customFormat="false" ht="15" hidden="false" customHeight="false" outlineLevel="0" collapsed="false">
      <c r="A19" s="23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2026-10-01T07:57:04Z</dcterms:created>
  <dc:creator>openpyxl</dc:creator>
  <dc:description/>
  <dc:language>en-US</dc:language>
  <cp:lastModifiedBy/>
  <dcterms:modified xsi:type="dcterms:W3CDTF">2026-10-01T07:57:04Z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